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 Calendar" sheetId="1" state="visible" r:id="rId3"/>
    <sheet name="Summary by Indust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<sst xmlns="http://schemas.openxmlformats.org/spreadsheetml/2006/main" count="303" uniqueCount="182">
  <si>
    <t xml:space="preserve">Event ID</t>
  </si>
  <si>
    <t xml:space="preserve">Event Name</t>
  </si>
  <si>
    <t xml:space="preserve">Event Type</t>
  </si>
  <si>
    <t xml:space="preserve">Industry</t>
  </si>
  <si>
    <t xml:space="preserve">Description</t>
  </si>
  <si>
    <t xml:space="preserve">Format</t>
  </si>
  <si>
    <t xml:space="preserve">Duration</t>
  </si>
  <si>
    <t xml:space="preserve">Date</t>
  </si>
  <si>
    <t xml:space="preserve">Time</t>
  </si>
  <si>
    <t xml:space="preserve">Pricing</t>
  </si>
  <si>
    <t xml:space="preserve">Target Companies</t>
  </si>
  <si>
    <t xml:space="preserve">EVT-001</t>
  </si>
  <si>
    <t xml:space="preserve">AI-Powered Core Banking &amp; Fraud Prevention Summit</t>
  </si>
  <si>
    <t xml:space="preserve">Business Summit</t>
  </si>
  <si>
    <t xml:space="preserve">Banking</t>
  </si>
  <si>
    <t xml:space="preserve">Executive summit exploring how AI strengthens fraud detection, AML compliance, and core banking modernization across the Philippine banking sector.</t>
  </si>
  <si>
    <t xml:space="preserve">In-Person (Half-Day)</t>
  </si>
  <si>
    <t xml:space="preserve">4 hours</t>
  </si>
  <si>
    <t xml:space="preserve">2026-08-19</t>
  </si>
  <si>
    <t xml:space="preserve">9:00 AM - 1:00 PM</t>
  </si>
  <si>
    <t xml:space="preserve">Complimentary (By Invitation)</t>
  </si>
  <si>
    <t xml:space="preserve">Metrobank, BPI, Security Bank, RCBC, UnionBank, Landbank, PNB, PBB, DBP</t>
  </si>
  <si>
    <t xml:space="preserve">EVT-002</t>
  </si>
  <si>
    <t xml:space="preserve">Cybersecurity &amp; AI Risk Controls for Financial Institutions</t>
  </si>
  <si>
    <t xml:space="preserve">Technical Seminar</t>
  </si>
  <si>
    <t xml:space="preserve">Technical seminar for IT and risk teams on deploying AI-driven risk controls, anomaly detection, and regulatory-compliant AI governance frameworks.</t>
  </si>
  <si>
    <t xml:space="preserve">In-Person</t>
  </si>
  <si>
    <t xml:space="preserve">3 hours</t>
  </si>
  <si>
    <t xml:space="preserve">2026-09-02</t>
  </si>
  <si>
    <t xml:space="preserve">1:00 PM - 4:00 PM</t>
  </si>
  <si>
    <t xml:space="preserve">PHP 3,500 per attendee</t>
  </si>
  <si>
    <t xml:space="preserve">PNB, RCBC, Security Bank, PBB, DBP</t>
  </si>
  <si>
    <t xml:space="preserve">EVT-003</t>
  </si>
  <si>
    <t xml:space="preserve">Digital Transformation for Banking: AI-Driven Customer Experience</t>
  </si>
  <si>
    <t xml:space="preserve">Digital Transformation Workshop</t>
  </si>
  <si>
    <t xml:space="preserve">Deep-dive workshop on applying AI to omnichannel banking, chatbots, and personalized customer engagement strategies.</t>
  </si>
  <si>
    <t xml:space="preserve">In-Person (Full-Day)</t>
  </si>
  <si>
    <t xml:space="preserve">6 hours</t>
  </si>
  <si>
    <t xml:space="preserve">2026-09-16</t>
  </si>
  <si>
    <t xml:space="preserve">9:00 AM - 3:00 PM</t>
  </si>
  <si>
    <t xml:space="preserve">PHP 15,000 per attendee</t>
  </si>
  <si>
    <t xml:space="preserve">BPI, UnionBank, Metrobank, Landbank</t>
  </si>
  <si>
    <t xml:space="preserve">EVT-004</t>
  </si>
  <si>
    <t xml:space="preserve">Unlock AI Potential in Retail &amp; Digital Banking</t>
  </si>
  <si>
    <t xml:space="preserve">Gen AI Discovery Session</t>
  </si>
  <si>
    <t xml:space="preserve">1.5-hour consultation to identify high-impact AI opportunities in retail banking operations, with expert insights tailored to each institution.</t>
  </si>
  <si>
    <t xml:space="preserve">Virtual or In-Person</t>
  </si>
  <si>
    <t xml:space="preserve">1 hr 30 min</t>
  </si>
  <si>
    <t xml:space="preserve">2026-08-05</t>
  </si>
  <si>
    <t xml:space="preserve">10:00 AM - 11:30 AM</t>
  </si>
  <si>
    <t xml:space="preserve">PHP 5,000 (credited toward future engagement)</t>
  </si>
  <si>
    <t xml:space="preserve">PBB, DBP, RCBC</t>
  </si>
  <si>
    <t xml:space="preserve">EVT-005</t>
  </si>
  <si>
    <t xml:space="preserve">Core Banking System AI Integration Support</t>
  </si>
  <si>
    <t xml:space="preserve">IT Support Services</t>
  </si>
  <si>
    <t xml:space="preserve">One-hour hands-on IT support session for banking IT teams integrating AI modules into existing core banking infrastructure.</t>
  </si>
  <si>
    <t xml:space="preserve">Virtual</t>
  </si>
  <si>
    <t xml:space="preserve">1 hour</t>
  </si>
  <si>
    <t xml:space="preserve">2026-08-26</t>
  </si>
  <si>
    <t xml:space="preserve">2:00 PM - 3:00 PM</t>
  </si>
  <si>
    <t xml:space="preserve">PHP 2,500 per session</t>
  </si>
  <si>
    <t xml:space="preserve">Metrobank, BPI, Security Bank</t>
  </si>
  <si>
    <t xml:space="preserve">EVT-006</t>
  </si>
  <si>
    <t xml:space="preserve">PropTech Summit: AI in Real Estate Sales &amp; Smart Buildings</t>
  </si>
  <si>
    <t xml:space="preserve">Property Development</t>
  </si>
  <si>
    <t xml:space="preserve">Executive summit on AI applications in smart building management, predictive buyer analytics, and digital leasing across the real estate sector.</t>
  </si>
  <si>
    <t xml:space="preserve">2026-09-23</t>
  </si>
  <si>
    <t xml:space="preserve">Ayala Land, Robinsons Land, Megaworld, SM Prime, Vista Land, Filinvest, Ayala Land Hospitality, Cathay Land, Philippine Realty and Holdings Corp.</t>
  </si>
  <si>
    <t xml:space="preserve">EVT-007</t>
  </si>
  <si>
    <t xml:space="preserve">Digital Transformation for Property Development: AI-Powered CRM &amp; Leasing</t>
  </si>
  <si>
    <t xml:space="preserve">Deep-dive workshop on integrating AI into CRM, lead scoring, and leasing workflows for property sales and marketing teams.</t>
  </si>
  <si>
    <t xml:space="preserve">2026-10-07</t>
  </si>
  <si>
    <t xml:space="preserve">SM Prime, Megaworld, Robinsons Land</t>
  </si>
  <si>
    <t xml:space="preserve">EVT-008</t>
  </si>
  <si>
    <t xml:space="preserve">AI Proof of Concept: Predictive Buyer Analytics for Real Estate</t>
  </si>
  <si>
    <t xml:space="preserve">AI Proof of Concept Program</t>
  </si>
  <si>
    <t xml:space="preserve">Hands-on program piloting an AI model that predicts buyer intent and optimizes property marketing spend, using the client's own sales data.</t>
  </si>
  <si>
    <t xml:space="preserve">In-Person + Remote Follow-up</t>
  </si>
  <si>
    <t xml:space="preserve">4-6 weeks (custom)</t>
  </si>
  <si>
    <t xml:space="preserve">2026-10-14</t>
  </si>
  <si>
    <t xml:space="preserve">Kickoff 9:00 AM</t>
  </si>
  <si>
    <t xml:space="preserve">Custom Pricing (Quote-Based)</t>
  </si>
  <si>
    <t xml:space="preserve">Vista Land, Filinvest Land, Cathay Land</t>
  </si>
  <si>
    <t xml:space="preserve">EVT-009</t>
  </si>
  <si>
    <t xml:space="preserve">Platform Training: AI-Enabled Sales &amp; Leasing Tools</t>
  </si>
  <si>
    <t xml:space="preserve">Group Trainings (Platform Training)</t>
  </si>
  <si>
    <t xml:space="preserve">Custom group training for sales and leasing teams on using Delca's AI-enabled CRM and lead-scoring platform.</t>
  </si>
  <si>
    <t xml:space="preserve">In-Person or Virtual</t>
  </si>
  <si>
    <t xml:space="preserve">Half-Day (custom)</t>
  </si>
  <si>
    <t xml:space="preserve">2026-10-21</t>
  </si>
  <si>
    <t xml:space="preserve">9:00 AM - 12:00 PM</t>
  </si>
  <si>
    <t xml:space="preserve">Custom Quote-Based</t>
  </si>
  <si>
    <t xml:space="preserve">Ayala Land, Robinsons Land, Vista Land</t>
  </si>
  <si>
    <t xml:space="preserve">EVT-010</t>
  </si>
  <si>
    <t xml:space="preserve">Introductory Meeting: AI Opportunities for Property Developers</t>
  </si>
  <si>
    <t xml:space="preserve">Online Meeting</t>
  </si>
  <si>
    <t xml:space="preserve">Free 1-hour introductory meeting to explore AI use cases relevant to property development, sales, and facilities management.</t>
  </si>
  <si>
    <t xml:space="preserve">2026-08-12</t>
  </si>
  <si>
    <t xml:space="preserve">3:00 PM - 4:00 PM</t>
  </si>
  <si>
    <t xml:space="preserve">Free</t>
  </si>
  <si>
    <t xml:space="preserve">Cathay Land, Philippine Realty and Holdings Corp., Ayala Land Hospitality</t>
  </si>
  <si>
    <t xml:space="preserve">EVT-011</t>
  </si>
  <si>
    <t xml:space="preserve">AI-Driven Supply Chain &amp; Fleet Optimization</t>
  </si>
  <si>
    <t xml:space="preserve">Distribution</t>
  </si>
  <si>
    <t xml:space="preserve">Technical seminar for logistics and operations leaders on applying AI to route planning, fleet management, and demand forecasting.</t>
  </si>
  <si>
    <t xml:space="preserve">2026-09-09</t>
  </si>
  <si>
    <t xml:space="preserve">FAST Logistics Group, F2 Logistics, 2GO Group, LBC Express, ICTSI, AC Logistics, Ninja Van Philippines, Chelsea Logistics</t>
  </si>
  <si>
    <t xml:space="preserve">EVT-012</t>
  </si>
  <si>
    <t xml:space="preserve">AI Proof of Concept: Route Optimization &amp; Warehouse Automation</t>
  </si>
  <si>
    <t xml:space="preserve">Hands-on pilot program applying AI to route optimization and warehouse pick-pack automation using the client's live operations data.</t>
  </si>
  <si>
    <t xml:space="preserve">2026-09-30</t>
  </si>
  <si>
    <t xml:space="preserve">F2 Logistics, LBC Express, Ninja Van Philippines</t>
  </si>
  <si>
    <t xml:space="preserve">EVT-013</t>
  </si>
  <si>
    <t xml:space="preserve">Platform Training: AI Logistics Management System</t>
  </si>
  <si>
    <t xml:space="preserve">Custom group training for dispatch and operations staff on Delca's AI-powered logistics management platform.</t>
  </si>
  <si>
    <t xml:space="preserve">2026-10-28</t>
  </si>
  <si>
    <t xml:space="preserve">FAST Logistics Group, 2GO Group, AC Logistics</t>
  </si>
  <si>
    <t xml:space="preserve">EVT-014</t>
  </si>
  <si>
    <t xml:space="preserve">Logistics Systems AI Integration Support</t>
  </si>
  <si>
    <t xml:space="preserve">One-hour IT support session for logistics IT teams integrating AI-based tracking and forecasting tools into existing systems.</t>
  </si>
  <si>
    <t xml:space="preserve">2026-09-11</t>
  </si>
  <si>
    <t xml:space="preserve">ICTSI, Chelsea Logistics, F2 Logistics</t>
  </si>
  <si>
    <t xml:space="preserve">EVT-015</t>
  </si>
  <si>
    <t xml:space="preserve">Unlock AI Potential in Last-Mile Delivery &amp; Distribution</t>
  </si>
  <si>
    <t xml:space="preserve">1.5-hour consultation identifying AI opportunities in last-mile delivery, inventory forecasting, and distribution network design.</t>
  </si>
  <si>
    <t xml:space="preserve">2026-08-20</t>
  </si>
  <si>
    <t xml:space="preserve">LBC Express, Ninja Van Philippines, AC Logistics</t>
  </si>
  <si>
    <t xml:space="preserve">EVT-016</t>
  </si>
  <si>
    <t xml:space="preserve">Manufacturing 4.0 Summit: AI in Production &amp; Supply Chain</t>
  </si>
  <si>
    <t xml:space="preserve">Manufacturing</t>
  </si>
  <si>
    <t xml:space="preserve">Executive summit on AI-driven Industry 4.0 strategies, covering predictive maintenance, quality control, and smart factory adoption.</t>
  </si>
  <si>
    <t xml:space="preserve">2026-10-01</t>
  </si>
  <si>
    <t xml:space="preserve">Universal Robina Corporation, San Miguel Corporation, Century Pacific Food, Monde Nissin, SteelAsia, Unilever Philippines, Procter &amp; Gamble Philippines, Toyota Motor Philippines, Nestle Philippines</t>
  </si>
  <si>
    <t xml:space="preserve">EVT-017</t>
  </si>
  <si>
    <t xml:space="preserve">Predictive Maintenance &amp; AI Quality Control for Manufacturers</t>
  </si>
  <si>
    <t xml:space="preserve">Technical seminar for plant and engineering teams on deploying AI for predictive maintenance and automated quality inspection.</t>
  </si>
  <si>
    <t xml:space="preserve">2026-10-15</t>
  </si>
  <si>
    <t xml:space="preserve">SteelAsia Manufacturing, Toyota Motor Philippines, San Miguel Corporation</t>
  </si>
  <si>
    <t xml:space="preserve">EVT-018</t>
  </si>
  <si>
    <t xml:space="preserve">AI Proof of Concept: Predictive Maintenance Pilot</t>
  </si>
  <si>
    <t xml:space="preserve">Hands-on pilot program applying AI-based predictive maintenance models to a client's production line equipment.</t>
  </si>
  <si>
    <t xml:space="preserve">2026-11-04</t>
  </si>
  <si>
    <t xml:space="preserve">Universal Robina Corporation, Century Pacific Food, Monde Nissin</t>
  </si>
  <si>
    <t xml:space="preserve">EVT-019</t>
  </si>
  <si>
    <t xml:space="preserve">Platform Training: AI-Enabled ERP &amp; Production Systems</t>
  </si>
  <si>
    <t xml:space="preserve">Custom group training for plant and supply chain staff on Delca's AI-enabled ERP and production monitoring platform.</t>
  </si>
  <si>
    <t xml:space="preserve">2026-11-11</t>
  </si>
  <si>
    <t xml:space="preserve">Nestle Philippines, Unilever Philippines, Procter &amp; Gamble Philippines</t>
  </si>
  <si>
    <t xml:space="preserve">EVT-020</t>
  </si>
  <si>
    <t xml:space="preserve">Manufacturing ERP &amp; AI Systems Support</t>
  </si>
  <si>
    <t xml:space="preserve">One-hour IT support session for manufacturing IT teams integrating AI modules into ERP and production systems.</t>
  </si>
  <si>
    <t xml:space="preserve">2026-10-23</t>
  </si>
  <si>
    <t xml:space="preserve">San Miguel Corporation, SteelAsia Manufacturing, Toyota Motor Philippines</t>
  </si>
  <si>
    <t xml:space="preserve">EVT-021</t>
  </si>
  <si>
    <t xml:space="preserve">InsurTech Summit: AI in Underwriting &amp; Claims</t>
  </si>
  <si>
    <t xml:space="preserve">Financial Institutions</t>
  </si>
  <si>
    <t xml:space="preserve">Executive summit exploring how AI transforms underwriting, claims automation, and credit scoring across insurance and microfinance.</t>
  </si>
  <si>
    <t xml:space="preserve">2026-11-18</t>
  </si>
  <si>
    <t xml:space="preserve">AIA Philippines, Sun Life of Canada (Philippines), Pru Life UK, Manulife Philippines, Malayan Insurance, CARD MRI, CARD Bank, Maharlika Investment Corporation, GSIS</t>
  </si>
  <si>
    <t xml:space="preserve">EVT-022</t>
  </si>
  <si>
    <t xml:space="preserve">Unlock AI Potential in Insurance &amp; Microfinance</t>
  </si>
  <si>
    <t xml:space="preserve">1.5-hour consultation identifying AI opportunities in underwriting, claims processing, and microfinance credit scoring.</t>
  </si>
  <si>
    <t xml:space="preserve">2026-09-04</t>
  </si>
  <si>
    <t xml:space="preserve">CARD MRI, CARD Bank, Malayan Insurance</t>
  </si>
  <si>
    <t xml:space="preserve">EVT-023</t>
  </si>
  <si>
    <t xml:space="preserve">Digital Transformation for Insurance: AI Claims &amp; Credit Scoring</t>
  </si>
  <si>
    <t xml:space="preserve">Deep-dive workshop on applying AI to claims automation, fraud detection, and microfinance credit scoring models.</t>
  </si>
  <si>
    <t xml:space="preserve">2026-11-25</t>
  </si>
  <si>
    <t xml:space="preserve">AIA Philippines, Sun Life of Canada (Philippines), Manulife Philippines</t>
  </si>
  <si>
    <t xml:space="preserve">EVT-024</t>
  </si>
  <si>
    <t xml:space="preserve">AI Training for Underwriters &amp; Financial Agents</t>
  </si>
  <si>
    <t xml:space="preserve">Training Sessions</t>
  </si>
  <si>
    <t xml:space="preserve">Structured training session for underwriters, actuaries, and financial agents on using AI tools in daily risk assessment workflows.</t>
  </si>
  <si>
    <t xml:space="preserve">2026-12-02</t>
  </si>
  <si>
    <t xml:space="preserve">Pru Life UK, Manulife Philippines, GSIS</t>
  </si>
  <si>
    <t xml:space="preserve">EVT-025</t>
  </si>
  <si>
    <t xml:space="preserve">Introductory Meeting: AI for Financial Institutions</t>
  </si>
  <si>
    <t xml:space="preserve">Free 1-hour introductory meeting to explore AI use cases relevant to insurance, microfinance, and government financial institutions.</t>
  </si>
  <si>
    <t xml:space="preserve">2026-08-13</t>
  </si>
  <si>
    <t xml:space="preserve">Maharlika Investment Corporation, GSIS, CARD MRI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</si>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</sst>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46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6"/>
    <col collapsed="false" customWidth="true" hidden="false" outlineLevel="0" max="11" min="11" style="1" width="4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4.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customFormat="false" ht="34.5" hidden="false" customHeight="true" outlineLevel="0" collapsed="false">
      <c r="A3" s="3" t="s">
        <v>22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customFormat="false" ht="34.5" hidden="false" customHeight="true" outlineLevel="0" collapsed="false">
      <c r="A4" s="3" t="s">
        <v>32</v>
      </c>
      <c r="B4" s="3" t="s">
        <v>33</v>
      </c>
      <c r="C4" s="3" t="s">
        <v>34</v>
      </c>
      <c r="D4" s="3" t="s">
        <v>14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</row>
    <row r="5" customFormat="false" ht="34.5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14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</row>
    <row r="6" customFormat="false" ht="34.5" hidden="false" customHeight="true" outlineLevel="0" collapsed="false">
      <c r="A6" s="3" t="s">
        <v>52</v>
      </c>
      <c r="B6" s="3" t="s">
        <v>53</v>
      </c>
      <c r="C6" s="3" t="s">
        <v>54</v>
      </c>
      <c r="D6" s="3" t="s">
        <v>14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</row>
    <row r="7" customFormat="false" ht="34.5" hidden="false" customHeight="true" outlineLevel="0" collapsed="false">
      <c r="A7" s="4" t="s">
        <v>62</v>
      </c>
      <c r="B7" s="4" t="s">
        <v>63</v>
      </c>
      <c r="C7" s="4" t="s">
        <v>13</v>
      </c>
      <c r="D7" s="4" t="s">
        <v>64</v>
      </c>
      <c r="E7" s="4" t="s">
        <v>65</v>
      </c>
      <c r="F7" s="4" t="s">
        <v>16</v>
      </c>
      <c r="G7" s="4" t="s">
        <v>17</v>
      </c>
      <c r="H7" s="4" t="s">
        <v>66</v>
      </c>
      <c r="I7" s="4" t="s">
        <v>19</v>
      </c>
      <c r="J7" s="4" t="s">
        <v>20</v>
      </c>
      <c r="K7" s="4" t="s">
        <v>67</v>
      </c>
    </row>
    <row r="8" customFormat="false" ht="34.5" hidden="false" customHeight="true" outlineLevel="0" collapsed="false">
      <c r="A8" s="4" t="s">
        <v>68</v>
      </c>
      <c r="B8" s="4" t="s">
        <v>69</v>
      </c>
      <c r="C8" s="4" t="s">
        <v>34</v>
      </c>
      <c r="D8" s="4" t="s">
        <v>64</v>
      </c>
      <c r="E8" s="4" t="s">
        <v>70</v>
      </c>
      <c r="F8" s="4" t="s">
        <v>36</v>
      </c>
      <c r="G8" s="4" t="s">
        <v>37</v>
      </c>
      <c r="H8" s="4" t="s">
        <v>71</v>
      </c>
      <c r="I8" s="4" t="s">
        <v>39</v>
      </c>
      <c r="J8" s="4" t="s">
        <v>40</v>
      </c>
      <c r="K8" s="4" t="s">
        <v>72</v>
      </c>
    </row>
    <row r="9" customFormat="false" ht="34.5" hidden="false" customHeight="true" outlineLevel="0" collapsed="false">
      <c r="A9" s="4" t="s">
        <v>73</v>
      </c>
      <c r="B9" s="4" t="s">
        <v>74</v>
      </c>
      <c r="C9" s="4" t="s">
        <v>75</v>
      </c>
      <c r="D9" s="4" t="s">
        <v>64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</row>
    <row r="10" customFormat="false" ht="34.5" hidden="false" customHeight="true" outlineLevel="0" collapsed="false">
      <c r="A10" s="4" t="s">
        <v>83</v>
      </c>
      <c r="B10" s="4" t="s">
        <v>84</v>
      </c>
      <c r="C10" s="4" t="s">
        <v>85</v>
      </c>
      <c r="D10" s="4" t="s">
        <v>64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92</v>
      </c>
    </row>
    <row r="11" customFormat="false" ht="34.5" hidden="false" customHeight="true" outlineLevel="0" collapsed="false">
      <c r="A11" s="4" t="s">
        <v>93</v>
      </c>
      <c r="B11" s="4" t="s">
        <v>94</v>
      </c>
      <c r="C11" s="4" t="s">
        <v>95</v>
      </c>
      <c r="D11" s="4" t="s">
        <v>64</v>
      </c>
      <c r="E11" s="4" t="s">
        <v>96</v>
      </c>
      <c r="F11" s="4" t="s">
        <v>56</v>
      </c>
      <c r="G11" s="4" t="s">
        <v>57</v>
      </c>
      <c r="H11" s="4" t="s">
        <v>97</v>
      </c>
      <c r="I11" s="4" t="s">
        <v>98</v>
      </c>
      <c r="J11" s="4" t="s">
        <v>99</v>
      </c>
      <c r="K11" s="4" t="s">
        <v>100</v>
      </c>
    </row>
    <row r="12" customFormat="false" ht="34.5" hidden="false" customHeight="true" outlineLevel="0" collapsed="false">
      <c r="A12" s="5" t="s">
        <v>101</v>
      </c>
      <c r="B12" s="5" t="s">
        <v>102</v>
      </c>
      <c r="C12" s="5" t="s">
        <v>24</v>
      </c>
      <c r="D12" s="5" t="s">
        <v>103</v>
      </c>
      <c r="E12" s="5" t="s">
        <v>104</v>
      </c>
      <c r="F12" s="5" t="s">
        <v>26</v>
      </c>
      <c r="G12" s="5" t="s">
        <v>27</v>
      </c>
      <c r="H12" s="5" t="s">
        <v>105</v>
      </c>
      <c r="I12" s="5" t="s">
        <v>29</v>
      </c>
      <c r="J12" s="5" t="s">
        <v>30</v>
      </c>
      <c r="K12" s="5" t="s">
        <v>106</v>
      </c>
    </row>
    <row r="13" customFormat="false" ht="34.5" hidden="false" customHeight="true" outlineLevel="0" collapsed="false">
      <c r="A13" s="5" t="s">
        <v>107</v>
      </c>
      <c r="B13" s="5" t="s">
        <v>108</v>
      </c>
      <c r="C13" s="5" t="s">
        <v>75</v>
      </c>
      <c r="D13" s="5" t="s">
        <v>103</v>
      </c>
      <c r="E13" s="5" t="s">
        <v>109</v>
      </c>
      <c r="F13" s="5" t="s">
        <v>77</v>
      </c>
      <c r="G13" s="5" t="s">
        <v>78</v>
      </c>
      <c r="H13" s="5" t="s">
        <v>110</v>
      </c>
      <c r="I13" s="5" t="s">
        <v>80</v>
      </c>
      <c r="J13" s="5" t="s">
        <v>81</v>
      </c>
      <c r="K13" s="5" t="s">
        <v>111</v>
      </c>
    </row>
    <row r="14" customFormat="false" ht="23.25" hidden="false" customHeight="true" outlineLevel="0" collapsed="false">
      <c r="A14" s="5" t="s">
        <v>112</v>
      </c>
      <c r="B14" s="5" t="s">
        <v>113</v>
      </c>
      <c r="C14" s="5" t="s">
        <v>85</v>
      </c>
      <c r="D14" s="5" t="s">
        <v>103</v>
      </c>
      <c r="E14" s="5" t="s">
        <v>114</v>
      </c>
      <c r="F14" s="5" t="s">
        <v>87</v>
      </c>
      <c r="G14" s="5" t="s">
        <v>88</v>
      </c>
      <c r="H14" s="5" t="s">
        <v>115</v>
      </c>
      <c r="I14" s="5" t="s">
        <v>90</v>
      </c>
      <c r="J14" s="5" t="s">
        <v>91</v>
      </c>
      <c r="K14" s="5" t="s">
        <v>116</v>
      </c>
    </row>
    <row r="15" customFormat="false" ht="34.5" hidden="false" customHeight="true" outlineLevel="0" collapsed="false">
      <c r="A15" s="5" t="s">
        <v>117</v>
      </c>
      <c r="B15" s="5" t="s">
        <v>118</v>
      </c>
      <c r="C15" s="5" t="s">
        <v>54</v>
      </c>
      <c r="D15" s="5" t="s">
        <v>103</v>
      </c>
      <c r="E15" s="5" t="s">
        <v>119</v>
      </c>
      <c r="F15" s="5" t="s">
        <v>56</v>
      </c>
      <c r="G15" s="5" t="s">
        <v>57</v>
      </c>
      <c r="H15" s="5" t="s">
        <v>120</v>
      </c>
      <c r="I15" s="5" t="s">
        <v>59</v>
      </c>
      <c r="J15" s="5" t="s">
        <v>60</v>
      </c>
      <c r="K15" s="5" t="s">
        <v>121</v>
      </c>
    </row>
    <row r="16" customFormat="false" ht="34.5" hidden="false" customHeight="true" outlineLevel="0" collapsed="false">
      <c r="A16" s="5" t="s">
        <v>122</v>
      </c>
      <c r="B16" s="5" t="s">
        <v>123</v>
      </c>
      <c r="C16" s="5" t="s">
        <v>44</v>
      </c>
      <c r="D16" s="5" t="s">
        <v>103</v>
      </c>
      <c r="E16" s="5" t="s">
        <v>124</v>
      </c>
      <c r="F16" s="5" t="s">
        <v>46</v>
      </c>
      <c r="G16" s="5" t="s">
        <v>47</v>
      </c>
      <c r="H16" s="5" t="s">
        <v>125</v>
      </c>
      <c r="I16" s="5" t="s">
        <v>49</v>
      </c>
      <c r="J16" s="5" t="s">
        <v>50</v>
      </c>
      <c r="K16" s="5" t="s">
        <v>126</v>
      </c>
    </row>
    <row r="17" customFormat="false" ht="45.75" hidden="false" customHeight="true" outlineLevel="0" collapsed="false">
      <c r="A17" s="6" t="s">
        <v>127</v>
      </c>
      <c r="B17" s="6" t="s">
        <v>128</v>
      </c>
      <c r="C17" s="6" t="s">
        <v>13</v>
      </c>
      <c r="D17" s="6" t="s">
        <v>129</v>
      </c>
      <c r="E17" s="6" t="s">
        <v>130</v>
      </c>
      <c r="F17" s="6" t="s">
        <v>16</v>
      </c>
      <c r="G17" s="6" t="s">
        <v>17</v>
      </c>
      <c r="H17" s="6" t="s">
        <v>131</v>
      </c>
      <c r="I17" s="6" t="s">
        <v>19</v>
      </c>
      <c r="J17" s="6" t="s">
        <v>20</v>
      </c>
      <c r="K17" s="6" t="s">
        <v>132</v>
      </c>
    </row>
    <row r="18" customFormat="false" ht="34.5" hidden="false" customHeight="true" outlineLevel="0" collapsed="false">
      <c r="A18" s="6" t="s">
        <v>133</v>
      </c>
      <c r="B18" s="6" t="s">
        <v>134</v>
      </c>
      <c r="C18" s="6" t="s">
        <v>24</v>
      </c>
      <c r="D18" s="6" t="s">
        <v>129</v>
      </c>
      <c r="E18" s="6" t="s">
        <v>135</v>
      </c>
      <c r="F18" s="6" t="s">
        <v>26</v>
      </c>
      <c r="G18" s="6" t="s">
        <v>27</v>
      </c>
      <c r="H18" s="6" t="s">
        <v>136</v>
      </c>
      <c r="I18" s="6" t="s">
        <v>29</v>
      </c>
      <c r="J18" s="6" t="s">
        <v>30</v>
      </c>
      <c r="K18" s="6" t="s">
        <v>137</v>
      </c>
    </row>
    <row r="19" customFormat="false" ht="34.5" hidden="false" customHeight="true" outlineLevel="0" collapsed="false">
      <c r="A19" s="6" t="s">
        <v>138</v>
      </c>
      <c r="B19" s="6" t="s">
        <v>139</v>
      </c>
      <c r="C19" s="6" t="s">
        <v>75</v>
      </c>
      <c r="D19" s="6" t="s">
        <v>129</v>
      </c>
      <c r="E19" s="6" t="s">
        <v>140</v>
      </c>
      <c r="F19" s="6" t="s">
        <v>77</v>
      </c>
      <c r="G19" s="6" t="s">
        <v>78</v>
      </c>
      <c r="H19" s="6" t="s">
        <v>141</v>
      </c>
      <c r="I19" s="6" t="s">
        <v>80</v>
      </c>
      <c r="J19" s="6" t="s">
        <v>81</v>
      </c>
      <c r="K19" s="6" t="s">
        <v>142</v>
      </c>
    </row>
    <row r="20" customFormat="false" ht="34.5" hidden="false" customHeight="true" outlineLevel="0" collapsed="false">
      <c r="A20" s="6" t="s">
        <v>143</v>
      </c>
      <c r="B20" s="6" t="s">
        <v>144</v>
      </c>
      <c r="C20" s="6" t="s">
        <v>85</v>
      </c>
      <c r="D20" s="6" t="s">
        <v>129</v>
      </c>
      <c r="E20" s="6" t="s">
        <v>145</v>
      </c>
      <c r="F20" s="6" t="s">
        <v>87</v>
      </c>
      <c r="G20" s="6" t="s">
        <v>88</v>
      </c>
      <c r="H20" s="6" t="s">
        <v>146</v>
      </c>
      <c r="I20" s="6" t="s">
        <v>90</v>
      </c>
      <c r="J20" s="6" t="s">
        <v>91</v>
      </c>
      <c r="K20" s="6" t="s">
        <v>147</v>
      </c>
    </row>
    <row r="21" customFormat="false" ht="34.5" hidden="false" customHeight="true" outlineLevel="0" collapsed="false">
      <c r="A21" s="6" t="s">
        <v>148</v>
      </c>
      <c r="B21" s="6" t="s">
        <v>149</v>
      </c>
      <c r="C21" s="6" t="s">
        <v>54</v>
      </c>
      <c r="D21" s="6" t="s">
        <v>129</v>
      </c>
      <c r="E21" s="6" t="s">
        <v>150</v>
      </c>
      <c r="F21" s="6" t="s">
        <v>56</v>
      </c>
      <c r="G21" s="6" t="s">
        <v>57</v>
      </c>
      <c r="H21" s="6" t="s">
        <v>151</v>
      </c>
      <c r="I21" s="6" t="s">
        <v>59</v>
      </c>
      <c r="J21" s="6" t="s">
        <v>60</v>
      </c>
      <c r="K21" s="6" t="s">
        <v>152</v>
      </c>
    </row>
    <row r="22" customFormat="false" ht="45.75" hidden="false" customHeight="true" outlineLevel="0" collapsed="false">
      <c r="A22" s="7" t="s">
        <v>153</v>
      </c>
      <c r="B22" s="7" t="s">
        <v>154</v>
      </c>
      <c r="C22" s="7" t="s">
        <v>13</v>
      </c>
      <c r="D22" s="7" t="s">
        <v>155</v>
      </c>
      <c r="E22" s="7" t="s">
        <v>156</v>
      </c>
      <c r="F22" s="7" t="s">
        <v>16</v>
      </c>
      <c r="G22" s="7" t="s">
        <v>17</v>
      </c>
      <c r="H22" s="7" t="s">
        <v>157</v>
      </c>
      <c r="I22" s="7" t="s">
        <v>19</v>
      </c>
      <c r="J22" s="7" t="s">
        <v>20</v>
      </c>
      <c r="K22" s="7" t="s">
        <v>158</v>
      </c>
    </row>
    <row r="23" customFormat="false" ht="34.5" hidden="false" customHeight="true" outlineLevel="0" collapsed="false">
      <c r="A23" s="7" t="s">
        <v>159</v>
      </c>
      <c r="B23" s="7" t="s">
        <v>160</v>
      </c>
      <c r="C23" s="7" t="s">
        <v>44</v>
      </c>
      <c r="D23" s="7" t="s">
        <v>155</v>
      </c>
      <c r="E23" s="7" t="s">
        <v>161</v>
      </c>
      <c r="F23" s="7" t="s">
        <v>46</v>
      </c>
      <c r="G23" s="7" t="s">
        <v>47</v>
      </c>
      <c r="H23" s="7" t="s">
        <v>162</v>
      </c>
      <c r="I23" s="7" t="s">
        <v>49</v>
      </c>
      <c r="J23" s="7" t="s">
        <v>50</v>
      </c>
      <c r="K23" s="7" t="s">
        <v>163</v>
      </c>
    </row>
    <row r="24" customFormat="false" ht="34.5" hidden="false" customHeight="true" outlineLevel="0" collapsed="false">
      <c r="A24" s="7" t="s">
        <v>164</v>
      </c>
      <c r="B24" s="7" t="s">
        <v>165</v>
      </c>
      <c r="C24" s="7" t="s">
        <v>34</v>
      </c>
      <c r="D24" s="7" t="s">
        <v>155</v>
      </c>
      <c r="E24" s="7" t="s">
        <v>166</v>
      </c>
      <c r="F24" s="7" t="s">
        <v>36</v>
      </c>
      <c r="G24" s="7" t="s">
        <v>37</v>
      </c>
      <c r="H24" s="7" t="s">
        <v>167</v>
      </c>
      <c r="I24" s="7" t="s">
        <v>39</v>
      </c>
      <c r="J24" s="7" t="s">
        <v>40</v>
      </c>
      <c r="K24" s="7" t="s">
        <v>168</v>
      </c>
    </row>
    <row r="25" customFormat="false" ht="34.5" hidden="false" customHeight="true" outlineLevel="0" collapsed="false">
      <c r="A25" s="7" t="s">
        <v>169</v>
      </c>
      <c r="B25" s="7" t="s">
        <v>170</v>
      </c>
      <c r="C25" s="7" t="s">
        <v>171</v>
      </c>
      <c r="D25" s="7" t="s">
        <v>155</v>
      </c>
      <c r="E25" s="7" t="s">
        <v>172</v>
      </c>
      <c r="F25" s="7" t="s">
        <v>26</v>
      </c>
      <c r="G25" s="7" t="s">
        <v>27</v>
      </c>
      <c r="H25" s="7" t="s">
        <v>173</v>
      </c>
      <c r="I25" s="7" t="s">
        <v>29</v>
      </c>
      <c r="J25" s="7" t="s">
        <v>30</v>
      </c>
      <c r="K25" s="7" t="s">
        <v>174</v>
      </c>
    </row>
    <row r="26" customFormat="false" ht="34.5" hidden="false" customHeight="true" outlineLevel="0" collapsed="false">
      <c r="A26" s="7" t="s">
        <v>175</v>
      </c>
      <c r="B26" s="7" t="s">
        <v>176</v>
      </c>
      <c r="C26" s="7" t="s">
        <v>95</v>
      </c>
      <c r="D26" s="7" t="s">
        <v>155</v>
      </c>
      <c r="E26" s="7" t="s">
        <v>177</v>
      </c>
      <c r="F26" s="7" t="s">
        <v>56</v>
      </c>
      <c r="G26" s="7" t="s">
        <v>57</v>
      </c>
      <c r="H26" s="7" t="s">
        <v>178</v>
      </c>
      <c r="I26" s="7" t="s">
        <v>98</v>
      </c>
      <c r="J26" s="7" t="s">
        <v>99</v>
      </c>
      <c r="K26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6"/>
    <col collapsed="false" customWidth="true" hidden="false" outlineLevel="0" max="11" min="11" style="1" width="10"/>
  </cols>
  <sheetData>
    <row r="1" customFormat="false" ht="30" hidden="false" customHeight="true" outlineLevel="0" collapsed="false">
      <c r="A1" s="2" t="s">
        <v>3</v>
      </c>
      <c r="B1" s="2" t="s">
        <v>75</v>
      </c>
      <c r="C1" s="2" t="s">
        <v>13</v>
      </c>
      <c r="D1" s="2" t="s">
        <v>34</v>
      </c>
      <c r="E1" s="2" t="s">
        <v>44</v>
      </c>
      <c r="F1" s="2" t="s">
        <v>85</v>
      </c>
      <c r="G1" s="2" t="s">
        <v>54</v>
      </c>
      <c r="H1" s="2" t="s">
        <v>95</v>
      </c>
      <c r="I1" s="2" t="s">
        <v>24</v>
      </c>
      <c r="J1" s="2" t="s">
        <v>171</v>
      </c>
      <c r="K1" s="2" t="s">
        <v>180</v>
      </c>
    </row>
    <row r="2" customFormat="false" ht="15" hidden="false" customHeight="true" outlineLevel="0" collapsed="false">
      <c r="A2" s="8" t="s">
        <v>14</v>
      </c>
      <c r="B2" s="8" t="n">
        <f aca="false">COUNTIFS('Events Calendar'!$D$2:$D$26,$A2,'Events Calendar'!$C$2:$C$26,"AI Proof of Concept Program")</f>
        <v>0</v>
      </c>
      <c r="C2" s="8" t="n">
        <f aca="false">COUNTIFS('Events Calendar'!$D$2:$D$26,$A2,'Events Calendar'!$C$2:$C$26,"Business Summit")</f>
        <v>1</v>
      </c>
      <c r="D2" s="8" t="n">
        <f aca="false">COUNTIFS('Events Calendar'!$D$2:$D$26,$A2,'Events Calendar'!$C$2:$C$26,"Digital Transformation Workshop")</f>
        <v>1</v>
      </c>
      <c r="E2" s="8" t="n">
        <f aca="false">COUNTIFS('Events Calendar'!$D$2:$D$26,$A2,'Events Calendar'!$C$2:$C$26,"Gen AI Discovery Session")</f>
        <v>1</v>
      </c>
      <c r="F2" s="8" t="n">
        <f aca="false">COUNTIFS('Events Calendar'!$D$2:$D$26,$A2,'Events Calendar'!$C$2:$C$26,"Group Trainings (Platform Training)")</f>
        <v>0</v>
      </c>
      <c r="G2" s="8" t="n">
        <f aca="false">COUNTIFS('Events Calendar'!$D$2:$D$26,$A2,'Events Calendar'!$C$2:$C$26,"IT Support Services")</f>
        <v>1</v>
      </c>
      <c r="H2" s="8" t="n">
        <f aca="false">COUNTIFS('Events Calendar'!$D$2:$D$26,$A2,'Events Calendar'!$C$2:$C$26,"Online Meeting")</f>
        <v>0</v>
      </c>
      <c r="I2" s="8" t="n">
        <f aca="false">COUNTIFS('Events Calendar'!$D$2:$D$26,$A2,'Events Calendar'!$C$2:$C$26,"Technical Seminar")</f>
        <v>1</v>
      </c>
      <c r="J2" s="8" t="n">
        <f aca="false">COUNTIFS('Events Calendar'!$D$2:$D$26,$A2,'Events Calendar'!$C$2:$C$26,"Training Sessions")</f>
        <v>0</v>
      </c>
      <c r="K2" s="8" t="n">
        <f aca="false">SUM(B2:J2)</f>
        <v>5</v>
      </c>
    </row>
    <row r="3" customFormat="false" ht="15" hidden="false" customHeight="true" outlineLevel="0" collapsed="false">
      <c r="A3" s="8" t="s">
        <v>64</v>
      </c>
      <c r="B3" s="8" t="n">
        <f aca="false">COUNTIFS('Events Calendar'!$D$2:$D$26,$A3,'Events Calendar'!$C$2:$C$26,"AI Proof of Concept Program")</f>
        <v>1</v>
      </c>
      <c r="C3" s="8" t="n">
        <f aca="false">COUNTIFS('Events Calendar'!$D$2:$D$26,$A3,'Events Calendar'!$C$2:$C$26,"Business Summit")</f>
        <v>1</v>
      </c>
      <c r="D3" s="8" t="n">
        <f aca="false">COUNTIFS('Events Calendar'!$D$2:$D$26,$A3,'Events Calendar'!$C$2:$C$26,"Digital Transformation Workshop")</f>
        <v>1</v>
      </c>
      <c r="E3" s="8" t="n">
        <f aca="false">COUNTIFS('Events Calendar'!$D$2:$D$26,$A3,'Events Calendar'!$C$2:$C$26,"Gen AI Discovery Session")</f>
        <v>0</v>
      </c>
      <c r="F3" s="8" t="n">
        <f aca="false">COUNTIFS('Events Calendar'!$D$2:$D$26,$A3,'Events Calendar'!$C$2:$C$26,"Group Trainings (Platform Training)")</f>
        <v>1</v>
      </c>
      <c r="G3" s="8" t="n">
        <f aca="false">COUNTIFS('Events Calendar'!$D$2:$D$26,$A3,'Events Calendar'!$C$2:$C$26,"IT Support Services")</f>
        <v>0</v>
      </c>
      <c r="H3" s="8" t="n">
        <f aca="false">COUNTIFS('Events Calendar'!$D$2:$D$26,$A3,'Events Calendar'!$C$2:$C$26,"Online Meeting")</f>
        <v>1</v>
      </c>
      <c r="I3" s="8" t="n">
        <f aca="false">COUNTIFS('Events Calendar'!$D$2:$D$26,$A3,'Events Calendar'!$C$2:$C$26,"Technical Seminar")</f>
        <v>0</v>
      </c>
      <c r="J3" s="8" t="n">
        <f aca="false">COUNTIFS('Events Calendar'!$D$2:$D$26,$A3,'Events Calendar'!$C$2:$C$26,"Training Sessions")</f>
        <v>0</v>
      </c>
      <c r="K3" s="8" t="n">
        <f aca="false">SUM(B3:J3)</f>
        <v>5</v>
      </c>
    </row>
    <row r="4" customFormat="false" ht="15" hidden="false" customHeight="true" outlineLevel="0" collapsed="false">
      <c r="A4" s="8" t="s">
        <v>103</v>
      </c>
      <c r="B4" s="8" t="n">
        <f aca="false">COUNTIFS('Events Calendar'!$D$2:$D$26,$A4,'Events Calendar'!$C$2:$C$26,"AI Proof of Concept Program")</f>
        <v>1</v>
      </c>
      <c r="C4" s="8" t="n">
        <f aca="false">COUNTIFS('Events Calendar'!$D$2:$D$26,$A4,'Events Calendar'!$C$2:$C$26,"Business Summit")</f>
        <v>0</v>
      </c>
      <c r="D4" s="8" t="n">
        <f aca="false">COUNTIFS('Events Calendar'!$D$2:$D$26,$A4,'Events Calendar'!$C$2:$C$26,"Digital Transformation Workshop")</f>
        <v>0</v>
      </c>
      <c r="E4" s="8" t="n">
        <f aca="false">COUNTIFS('Events Calendar'!$D$2:$D$26,$A4,'Events Calendar'!$C$2:$C$26,"Gen AI Discovery Session")</f>
        <v>1</v>
      </c>
      <c r="F4" s="8" t="n">
        <f aca="false">COUNTIFS('Events Calendar'!$D$2:$D$26,$A4,'Events Calendar'!$C$2:$C$26,"Group Trainings (Platform Training)")</f>
        <v>1</v>
      </c>
      <c r="G4" s="8" t="n">
        <f aca="false">COUNTIFS('Events Calendar'!$D$2:$D$26,$A4,'Events Calendar'!$C$2:$C$26,"IT Support Services")</f>
        <v>1</v>
      </c>
      <c r="H4" s="8" t="n">
        <f aca="false">COUNTIFS('Events Calendar'!$D$2:$D$26,$A4,'Events Calendar'!$C$2:$C$26,"Online Meeting")</f>
        <v>0</v>
      </c>
      <c r="I4" s="8" t="n">
        <f aca="false">COUNTIFS('Events Calendar'!$D$2:$D$26,$A4,'Events Calendar'!$C$2:$C$26,"Technical Seminar")</f>
        <v>1</v>
      </c>
      <c r="J4" s="8" t="n">
        <f aca="false">COUNTIFS('Events Calendar'!$D$2:$D$26,$A4,'Events Calendar'!$C$2:$C$26,"Training Sessions")</f>
        <v>0</v>
      </c>
      <c r="K4" s="8" t="n">
        <f aca="false">SUM(B4:J4)</f>
        <v>5</v>
      </c>
    </row>
    <row r="5" customFormat="false" ht="15" hidden="false" customHeight="true" outlineLevel="0" collapsed="false">
      <c r="A5" s="8" t="s">
        <v>129</v>
      </c>
      <c r="B5" s="8" t="n">
        <f aca="false">COUNTIFS('Events Calendar'!$D$2:$D$26,$A5,'Events Calendar'!$C$2:$C$26,"AI Proof of Concept Program")</f>
        <v>1</v>
      </c>
      <c r="C5" s="8" t="n">
        <f aca="false">COUNTIFS('Events Calendar'!$D$2:$D$26,$A5,'Events Calendar'!$C$2:$C$26,"Business Summit")</f>
        <v>1</v>
      </c>
      <c r="D5" s="8" t="n">
        <f aca="false">COUNTIFS('Events Calendar'!$D$2:$D$26,$A5,'Events Calendar'!$C$2:$C$26,"Digital Transformation Workshop")</f>
        <v>0</v>
      </c>
      <c r="E5" s="8" t="n">
        <f aca="false">COUNTIFS('Events Calendar'!$D$2:$D$26,$A5,'Events Calendar'!$C$2:$C$26,"Gen AI Discovery Session")</f>
        <v>0</v>
      </c>
      <c r="F5" s="8" t="n">
        <f aca="false">COUNTIFS('Events Calendar'!$D$2:$D$26,$A5,'Events Calendar'!$C$2:$C$26,"Group Trainings (Platform Training)")</f>
        <v>1</v>
      </c>
      <c r="G5" s="8" t="n">
        <f aca="false">COUNTIFS('Events Calendar'!$D$2:$D$26,$A5,'Events Calendar'!$C$2:$C$26,"IT Support Services")</f>
        <v>1</v>
      </c>
      <c r="H5" s="8" t="n">
        <f aca="false">COUNTIFS('Events Calendar'!$D$2:$D$26,$A5,'Events Calendar'!$C$2:$C$26,"Online Meeting")</f>
        <v>0</v>
      </c>
      <c r="I5" s="8" t="n">
        <f aca="false">COUNTIFS('Events Calendar'!$D$2:$D$26,$A5,'Events Calendar'!$C$2:$C$26,"Technical Seminar")</f>
        <v>1</v>
      </c>
      <c r="J5" s="8" t="n">
        <f aca="false">COUNTIFS('Events Calendar'!$D$2:$D$26,$A5,'Events Calendar'!$C$2:$C$26,"Training Sessions")</f>
        <v>0</v>
      </c>
      <c r="K5" s="8" t="n">
        <f aca="false">SUM(B5:J5)</f>
        <v>5</v>
      </c>
    </row>
    <row r="6" customFormat="false" ht="15" hidden="false" customHeight="true" outlineLevel="0" collapsed="false">
      <c r="A6" s="8" t="s">
        <v>155</v>
      </c>
      <c r="B6" s="8" t="n">
        <f aca="false">COUNTIFS('Events Calendar'!$D$2:$D$26,$A6,'Events Calendar'!$C$2:$C$26,"AI Proof of Concept Program")</f>
        <v>0</v>
      </c>
      <c r="C6" s="8" t="n">
        <f aca="false">COUNTIFS('Events Calendar'!$D$2:$D$26,$A6,'Events Calendar'!$C$2:$C$26,"Business Summit")</f>
        <v>1</v>
      </c>
      <c r="D6" s="8" t="n">
        <f aca="false">COUNTIFS('Events Calendar'!$D$2:$D$26,$A6,'Events Calendar'!$C$2:$C$26,"Digital Transformation Workshop")</f>
        <v>1</v>
      </c>
      <c r="E6" s="8" t="n">
        <f aca="false">COUNTIFS('Events Calendar'!$D$2:$D$26,$A6,'Events Calendar'!$C$2:$C$26,"Gen AI Discovery Session")</f>
        <v>1</v>
      </c>
      <c r="F6" s="8" t="n">
        <f aca="false">COUNTIFS('Events Calendar'!$D$2:$D$26,$A6,'Events Calendar'!$C$2:$C$26,"Group Trainings (Platform Training)")</f>
        <v>0</v>
      </c>
      <c r="G6" s="8" t="n">
        <f aca="false">COUNTIFS('Events Calendar'!$D$2:$D$26,$A6,'Events Calendar'!$C$2:$C$26,"IT Support Services")</f>
        <v>0</v>
      </c>
      <c r="H6" s="8" t="n">
        <f aca="false">COUNTIFS('Events Calendar'!$D$2:$D$26,$A6,'Events Calendar'!$C$2:$C$26,"Online Meeting")</f>
        <v>1</v>
      </c>
      <c r="I6" s="8" t="n">
        <f aca="false">COUNTIFS('Events Calendar'!$D$2:$D$26,$A6,'Events Calendar'!$C$2:$C$26,"Technical Seminar")</f>
        <v>0</v>
      </c>
      <c r="J6" s="8" t="n">
        <f aca="false">COUNTIFS('Events Calendar'!$D$2:$D$26,$A6,'Events Calendar'!$C$2:$C$26,"Training Sessions")</f>
        <v>1</v>
      </c>
      <c r="K6" s="8" t="n">
        <f aca="false">SUM(B6:J6)</f>
        <v>5</v>
      </c>
    </row>
    <row r="7" customFormat="false" ht="15" hidden="false" customHeight="true" outlineLevel="0" collapsed="false">
      <c r="A7" s="9" t="s">
        <v>181</v>
      </c>
      <c r="B7" s="9" t="n">
        <f aca="false">SUM(B2:B6)</f>
        <v>3</v>
      </c>
      <c r="C7" s="9" t="n">
        <f aca="false">SUM(C2:C6)</f>
        <v>4</v>
      </c>
      <c r="D7" s="9" t="n">
        <f aca="false">SUM(D2:D6)</f>
        <v>3</v>
      </c>
      <c r="E7" s="9" t="n">
        <f aca="false">SUM(E2:E6)</f>
        <v>3</v>
      </c>
      <c r="F7" s="9" t="n">
        <f aca="false">SUM(F2:F6)</f>
        <v>3</v>
      </c>
      <c r="G7" s="9" t="n">
        <f aca="false">SUM(G2:G6)</f>
        <v>3</v>
      </c>
      <c r="H7" s="9" t="n">
        <f aca="false">SUM(H2:H6)</f>
        <v>2</v>
      </c>
      <c r="I7" s="9" t="n">
        <f aca="false">SUM(I2:I6)</f>
        <v>3</v>
      </c>
      <c r="J7" s="9" t="n">
        <f aca="false">SUM(J2:J6)</f>
        <v>1</v>
      </c>
      <c r="K7" s="9" t="n">
        <f aca="false">SUM(B7:J7)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2026-08-14T05:31:26Z</dcterms:created>
  <dc:creator>openpyxl</dc:creator>
  <dc:description/>
  <dc:language>en-US</dc:language>
  <cp:lastModifiedBy/>
  <dcterms:modified xsi:type="dcterms:W3CDTF">2026-08-14T05:31:56Z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